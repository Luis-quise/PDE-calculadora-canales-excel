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EGA\Ciencia y Tecnologia\Matriz Agua\Hidráulica\"/>
    </mc:Choice>
  </mc:AlternateContent>
  <xr:revisionPtr revIDLastSave="0" documentId="13_ncr:1_{9F011E10-0CB9-4789-AE68-598F3574A32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Calculadora" sheetId="1" r:id="rId1"/>
    <sheet name="Canal Trapezoidal" sheetId="6" state="hidden" r:id="rId2"/>
    <sheet name="Canal Rectangular" sheetId="5" state="hidden" r:id="rId3"/>
    <sheet name="Canal Triangular" sheetId="7" state="hidden" r:id="rId4"/>
    <sheet name="Canal Circular" sheetId="8" state="hidden" r:id="rId5"/>
  </sheets>
  <definedNames>
    <definedName name="_xlnm._FilterDatabase" localSheetId="0" hidden="1">Calculadora!$A$8:$E$29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6" i="1" l="1"/>
  <c r="H16" i="1"/>
  <c r="H20" i="1" s="1"/>
  <c r="E15" i="1"/>
  <c r="D15" i="1"/>
  <c r="D12" i="1"/>
  <c r="D16" i="1" s="1"/>
  <c r="D29" i="1" s="1"/>
  <c r="D26" i="1"/>
  <c r="C27" i="1"/>
  <c r="C28" i="1" s="1"/>
  <c r="E13" i="1"/>
  <c r="E12" i="1"/>
  <c r="I89" i="1"/>
  <c r="I45" i="1"/>
  <c r="I46" i="1" s="1"/>
  <c r="I42" i="1"/>
  <c r="I43" i="1" s="1"/>
  <c r="I23" i="1"/>
  <c r="I37" i="1"/>
  <c r="I39" i="1" s="1"/>
  <c r="I32" i="1"/>
  <c r="I33" i="1" s="1"/>
  <c r="I26" i="1"/>
  <c r="I29" i="1" s="1"/>
  <c r="H19" i="1"/>
  <c r="I20" i="1"/>
  <c r="D27" i="1"/>
  <c r="E27" i="1"/>
  <c r="E28" i="1"/>
  <c r="G50" i="1"/>
  <c r="E23" i="1"/>
  <c r="C20" i="1"/>
  <c r="D20" i="1"/>
  <c r="E20" i="1"/>
  <c r="C23" i="1"/>
  <c r="H27" i="1" l="1"/>
  <c r="E14" i="1"/>
  <c r="E16" i="1"/>
  <c r="C12" i="1"/>
  <c r="C15" i="1"/>
  <c r="D13" i="1"/>
  <c r="D14" i="1" s="1"/>
  <c r="D28" i="1"/>
  <c r="C13" i="1"/>
  <c r="H89" i="1"/>
  <c r="H38" i="1"/>
  <c r="H49" i="1"/>
  <c r="I49" i="1"/>
  <c r="H90" i="1"/>
  <c r="I50" i="1"/>
  <c r="H50" i="1"/>
  <c r="G51" i="1"/>
  <c r="I51" i="1" s="1"/>
  <c r="I90" i="1"/>
  <c r="H43" i="1" l="1"/>
  <c r="H42" i="1"/>
  <c r="H32" i="1"/>
  <c r="H28" i="1"/>
  <c r="H33" i="1" s="1"/>
  <c r="C11" i="1"/>
  <c r="C16" i="1"/>
  <c r="H39" i="1"/>
  <c r="H51" i="1"/>
  <c r="G52" i="1"/>
  <c r="E11" i="1"/>
  <c r="E10" i="1" l="1"/>
  <c r="E29" i="1"/>
  <c r="C29" i="1"/>
  <c r="H29" i="1"/>
  <c r="H52" i="1"/>
  <c r="G53" i="1"/>
  <c r="I52" i="1"/>
  <c r="D23" i="1"/>
  <c r="H53" i="1" l="1"/>
  <c r="I53" i="1"/>
  <c r="G54" i="1"/>
  <c r="G55" i="1" l="1"/>
  <c r="I54" i="1"/>
  <c r="H54" i="1"/>
  <c r="D10" i="1"/>
  <c r="I55" i="1" l="1"/>
  <c r="H55" i="1"/>
  <c r="G56" i="1"/>
  <c r="C14" i="1"/>
  <c r="C25" i="1" s="1"/>
  <c r="H56" i="1" l="1"/>
  <c r="I56" i="1"/>
  <c r="G57" i="1"/>
  <c r="H57" i="1" l="1"/>
  <c r="G58" i="1"/>
  <c r="I57" i="1"/>
  <c r="I58" i="1" l="1"/>
  <c r="H58" i="1"/>
  <c r="G59" i="1"/>
  <c r="I59" i="1" l="1"/>
  <c r="H59" i="1"/>
  <c r="G60" i="1"/>
  <c r="I60" i="1" l="1"/>
  <c r="G61" i="1"/>
  <c r="H60" i="1"/>
  <c r="I61" i="1" l="1"/>
  <c r="H61" i="1"/>
  <c r="G62" i="1"/>
  <c r="H62" i="1" l="1"/>
  <c r="I62" i="1"/>
  <c r="G63" i="1"/>
  <c r="H63" i="1" l="1"/>
  <c r="I63" i="1"/>
  <c r="G64" i="1"/>
  <c r="H64" i="1" l="1"/>
  <c r="G65" i="1"/>
  <c r="I64" i="1"/>
  <c r="H65" i="1" l="1"/>
  <c r="I65" i="1"/>
  <c r="G66" i="1"/>
  <c r="G67" i="1" l="1"/>
  <c r="H66" i="1"/>
  <c r="I66" i="1"/>
  <c r="I67" i="1" l="1"/>
  <c r="H67" i="1"/>
  <c r="G68" i="1"/>
  <c r="H68" i="1" l="1"/>
  <c r="G69" i="1"/>
  <c r="I68" i="1"/>
  <c r="H69" i="1" l="1"/>
  <c r="I69" i="1"/>
  <c r="G70" i="1"/>
  <c r="I70" i="1" l="1"/>
  <c r="G71" i="1"/>
  <c r="H70" i="1"/>
  <c r="I71" i="1" l="1"/>
  <c r="H71" i="1"/>
  <c r="G72" i="1"/>
  <c r="I72" i="1" l="1"/>
  <c r="H72" i="1"/>
  <c r="G73" i="1"/>
  <c r="I73" i="1" l="1"/>
  <c r="H73" i="1"/>
  <c r="G74" i="1"/>
  <c r="H74" i="1" l="1"/>
  <c r="I74" i="1"/>
  <c r="G75" i="1"/>
  <c r="H75" i="1" l="1"/>
  <c r="G76" i="1"/>
  <c r="I75" i="1"/>
  <c r="H76" i="1" l="1"/>
  <c r="I76" i="1"/>
  <c r="G77" i="1"/>
  <c r="H77" i="1" l="1"/>
  <c r="I77" i="1"/>
  <c r="G78" i="1"/>
  <c r="H78" i="1" l="1"/>
  <c r="G79" i="1"/>
  <c r="I78" i="1"/>
  <c r="I79" i="1" l="1"/>
  <c r="G80" i="1"/>
  <c r="H79" i="1"/>
  <c r="I80" i="1" l="1"/>
  <c r="H80" i="1"/>
  <c r="G81" i="1"/>
  <c r="H81" i="1" l="1"/>
  <c r="G82" i="1"/>
  <c r="I81" i="1"/>
  <c r="H82" i="1" l="1"/>
  <c r="G83" i="1"/>
  <c r="I82" i="1"/>
  <c r="I83" i="1" l="1"/>
  <c r="H83" i="1"/>
  <c r="G84" i="1"/>
  <c r="H84" i="1" l="1"/>
  <c r="G85" i="1"/>
  <c r="I84" i="1"/>
  <c r="H85" i="1" l="1"/>
  <c r="I85" i="1"/>
</calcChain>
</file>

<file path=xl/sharedStrings.xml><?xml version="1.0" encoding="utf-8"?>
<sst xmlns="http://schemas.openxmlformats.org/spreadsheetml/2006/main" count="76" uniqueCount="48">
  <si>
    <t>Trapezoidal</t>
  </si>
  <si>
    <t>Rectangular</t>
  </si>
  <si>
    <t>Triangular</t>
  </si>
  <si>
    <t>Circular</t>
  </si>
  <si>
    <t>Q aux</t>
  </si>
  <si>
    <t>Caudal (Q)</t>
  </si>
  <si>
    <t>Velocidad (V)</t>
  </si>
  <si>
    <t>Área mojada (Ah)</t>
  </si>
  <si>
    <t>Perímetro mojado (P)</t>
  </si>
  <si>
    <t>Radio hidráulico (Rh)</t>
  </si>
  <si>
    <t>Pendiente (S)</t>
  </si>
  <si>
    <t>Coeficiente de Manning (n)</t>
  </si>
  <si>
    <t>Tirante (y)</t>
  </si>
  <si>
    <t>V aux</t>
  </si>
  <si>
    <t>b</t>
  </si>
  <si>
    <t>z</t>
  </si>
  <si>
    <t>Talud (z, horizontal : vertical)</t>
  </si>
  <si>
    <t>Angulo</t>
  </si>
  <si>
    <t>Radio</t>
  </si>
  <si>
    <t>X</t>
  </si>
  <si>
    <t>Y</t>
  </si>
  <si>
    <t>Calculadora de canales por el método de Manning</t>
  </si>
  <si>
    <t>Units</t>
  </si>
  <si>
    <t>Canal rectangular</t>
  </si>
  <si>
    <t>Tirante</t>
  </si>
  <si>
    <t>Sección</t>
  </si>
  <si>
    <t>Canal trapezoidal</t>
  </si>
  <si>
    <t>Canal triangular</t>
  </si>
  <si>
    <t>Diametro</t>
  </si>
  <si>
    <t>Canal circular</t>
  </si>
  <si>
    <t>Relación ancho/altura (b/H)</t>
  </si>
  <si>
    <t>Altura total (H) | Diámetro (D)</t>
  </si>
  <si>
    <t>Ancho del fondo (b)</t>
  </si>
  <si>
    <t>Relación de calados (y/H)</t>
  </si>
  <si>
    <t>Ángulo al centro (θ)</t>
  </si>
  <si>
    <t>Número de Froude (Fr)</t>
  </si>
  <si>
    <t>Ancho superficial (T)</t>
  </si>
  <si>
    <t>Profundidad hidráulica (A/T)</t>
  </si>
  <si>
    <t>m</t>
  </si>
  <si>
    <t>m/s</t>
  </si>
  <si>
    <r>
      <t>m</t>
    </r>
    <r>
      <rPr>
        <sz val="11"/>
        <color theme="1"/>
        <rFont val="Calibri"/>
        <family val="2"/>
      </rPr>
      <t>²</t>
    </r>
  </si>
  <si>
    <t>m³/s</t>
  </si>
  <si>
    <t>m/m</t>
  </si>
  <si>
    <t>rad</t>
  </si>
  <si>
    <t>deg</t>
  </si>
  <si>
    <t>Parámetro</t>
  </si>
  <si>
    <t>Valor</t>
  </si>
  <si>
    <t>Plantilla desarrollada por Luis Quintero Serrano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</si>
</sst>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3.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NumberFormat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4" fillId="0" borderId="0" xfId="0" applyFont="1" applyAlignment="1">
      <alignment horizontal="left" vertical="center"/>
    </xf>
    <xf numFmtId="0" fontId="5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Tirante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Calculadora!$H$32:$H$33</c:f>
              <c:numCache>
                <c:formatCode>General</c:formatCode>
                <c:ptCount val="2"/>
                <c:pt idx="0">
                  <c:v>1.1999999999999993</c:v>
                </c:pt>
                <c:pt idx="1">
                  <c:v>12.8</c:v>
                </c:pt>
              </c:numCache>
            </c:numRef>
          </c:xVal>
          <c:yVal>
            <c:numRef>
              <c:f>Calculadora!$I$32:$I$33</c:f>
              <c:numCache>
                <c:formatCode>General</c:formatCode>
                <c:ptCount val="2"/>
                <c:pt idx="0">
                  <c:v>1.6</c:v>
                </c:pt>
                <c:pt idx="1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4-4D68-8BE4-0F1570F33DD9}"/>
            </c:ext>
          </c:extLst>
        </c:ser>
        <c:ser>
          <c:idx val="0"/>
          <c:order val="1"/>
          <c:tx>
            <c:v>Canal</c:v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Calculadora!$H$26:$H$29</c:f>
              <c:numCache>
                <c:formatCode>General</c:formatCode>
                <c:ptCount val="4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14</c:v>
                </c:pt>
              </c:numCache>
            </c:numRef>
          </c:xVal>
          <c:yVal>
            <c:numRef>
              <c:f>Calculadora!$I$26:$I$29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54-4D68-8BE4-0F1570F3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18927"/>
        <c:axId val="1520319759"/>
      </c:scatterChart>
      <c:valAx>
        <c:axId val="1520318927"/>
        <c:scaling>
          <c:orientation val="minMax"/>
          <c:min val="-0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9759"/>
        <c:crossesAt val="-0.2"/>
        <c:crossBetween val="midCat"/>
      </c:valAx>
      <c:valAx>
        <c:axId val="1520319759"/>
        <c:scaling>
          <c:orientation val="minMax"/>
          <c:min val="-0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8927"/>
        <c:crossesAt val="-0.5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Tirante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Calculadora!$H$19:$H$20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xVal>
          <c:yVal>
            <c:numRef>
              <c:f>Calculadora!$I$19:$I$20</c:f>
              <c:numCache>
                <c:formatCode>General</c:formatCode>
                <c:ptCount val="2"/>
                <c:pt idx="0">
                  <c:v>1.6</c:v>
                </c:pt>
                <c:pt idx="1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BB-42BE-B528-5CEEB01416ED}"/>
            </c:ext>
          </c:extLst>
        </c:ser>
        <c:ser>
          <c:idx val="0"/>
          <c:order val="1"/>
          <c:tx>
            <c:v>Canal</c:v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Calculadora!$H$13:$H$16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Calculadora!$I$13:$I$16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BB-42BE-B528-5CEEB0141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18927"/>
        <c:axId val="1520319759"/>
      </c:scatterChart>
      <c:valAx>
        <c:axId val="1520318927"/>
        <c:scaling>
          <c:orientation val="minMax"/>
          <c:min val="-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9759"/>
        <c:crossesAt val="-0.2"/>
        <c:crossBetween val="midCat"/>
        <c:majorUnit val="0.2"/>
      </c:valAx>
      <c:valAx>
        <c:axId val="1520319759"/>
        <c:scaling>
          <c:orientation val="minMax"/>
          <c:min val="-0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8927"/>
        <c:crossesAt val="-0.5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Tirante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Calculadora!$H$42:$H$43</c:f>
              <c:numCache>
                <c:formatCode>General</c:formatCode>
                <c:ptCount val="2"/>
                <c:pt idx="0">
                  <c:v>1.1999999999999993</c:v>
                </c:pt>
                <c:pt idx="1">
                  <c:v>10.8</c:v>
                </c:pt>
              </c:numCache>
            </c:numRef>
          </c:xVal>
          <c:yVal>
            <c:numRef>
              <c:f>Calculadora!$I$42:$I$43</c:f>
              <c:numCache>
                <c:formatCode>General</c:formatCode>
                <c:ptCount val="2"/>
                <c:pt idx="0">
                  <c:v>1.6</c:v>
                </c:pt>
                <c:pt idx="1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FD-4E9E-B817-58214392E663}"/>
            </c:ext>
          </c:extLst>
        </c:ser>
        <c:ser>
          <c:idx val="0"/>
          <c:order val="1"/>
          <c:tx>
            <c:v>Canal</c:v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Calculadora!$H$37:$H$39</c:f>
              <c:numCache>
                <c:formatCode>General</c:formatCode>
                <c:ptCount val="3"/>
                <c:pt idx="0">
                  <c:v>0</c:v>
                </c:pt>
                <c:pt idx="1">
                  <c:v>6</c:v>
                </c:pt>
                <c:pt idx="2">
                  <c:v>12</c:v>
                </c:pt>
              </c:numCache>
            </c:numRef>
          </c:xVal>
          <c:yVal>
            <c:numRef>
              <c:f>Calculadora!$I$37:$I$39</c:f>
              <c:numCache>
                <c:formatCode>General</c:formatCode>
                <c:ptCount val="3"/>
                <c:pt idx="0">
                  <c:v>2</c:v>
                </c:pt>
                <c:pt idx="1">
                  <c:v>0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FD-4E9E-B817-58214392E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18927"/>
        <c:axId val="1520319759"/>
      </c:scatterChart>
      <c:valAx>
        <c:axId val="1520318927"/>
        <c:scaling>
          <c:orientation val="minMax"/>
          <c:min val="-0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9759"/>
        <c:crossesAt val="-0.2"/>
        <c:crossBetween val="midCat"/>
      </c:valAx>
      <c:valAx>
        <c:axId val="1520319759"/>
        <c:scaling>
          <c:orientation val="minMax"/>
          <c:min val="-0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8927"/>
        <c:crossesAt val="-0.5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v>Tirante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Calculadora!$H$89:$H$90</c:f>
              <c:numCache>
                <c:formatCode>General</c:formatCode>
                <c:ptCount val="2"/>
                <c:pt idx="0">
                  <c:v>0.20000000000000007</c:v>
                </c:pt>
                <c:pt idx="1">
                  <c:v>1.7999999999999998</c:v>
                </c:pt>
              </c:numCache>
            </c:numRef>
          </c:xVal>
          <c:yVal>
            <c:numRef>
              <c:f>Calculadora!$I$89:$I$90</c:f>
              <c:numCache>
                <c:formatCode>General</c:formatCode>
                <c:ptCount val="2"/>
                <c:pt idx="0">
                  <c:v>1.6</c:v>
                </c:pt>
                <c:pt idx="1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A-4A4B-A271-71F461A2ED42}"/>
            </c:ext>
          </c:extLst>
        </c:ser>
        <c:ser>
          <c:idx val="0"/>
          <c:order val="1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Calculadora!$H$49:$H$85</c:f>
              <c:numCache>
                <c:formatCode>General</c:formatCode>
                <c:ptCount val="37"/>
                <c:pt idx="0">
                  <c:v>2</c:v>
                </c:pt>
                <c:pt idx="1">
                  <c:v>1.9848077530122081</c:v>
                </c:pt>
                <c:pt idx="2">
                  <c:v>1.9396926207859084</c:v>
                </c:pt>
                <c:pt idx="3">
                  <c:v>1.8660254037844388</c:v>
                </c:pt>
                <c:pt idx="4">
                  <c:v>1.7660444431189779</c:v>
                </c:pt>
                <c:pt idx="5">
                  <c:v>1.6427876096865393</c:v>
                </c:pt>
                <c:pt idx="6">
                  <c:v>1.5</c:v>
                </c:pt>
                <c:pt idx="7">
                  <c:v>1.3420201433256689</c:v>
                </c:pt>
                <c:pt idx="8">
                  <c:v>1.1736481776669305</c:v>
                </c:pt>
                <c:pt idx="9">
                  <c:v>1</c:v>
                </c:pt>
                <c:pt idx="10">
                  <c:v>0.8263518223330697</c:v>
                </c:pt>
                <c:pt idx="11">
                  <c:v>0.65797985667433134</c:v>
                </c:pt>
                <c:pt idx="12">
                  <c:v>0.50000000000000022</c:v>
                </c:pt>
                <c:pt idx="13">
                  <c:v>0.35721239031346064</c:v>
                </c:pt>
                <c:pt idx="14">
                  <c:v>0.2339555568810221</c:v>
                </c:pt>
                <c:pt idx="15">
                  <c:v>0.13397459621556129</c:v>
                </c:pt>
                <c:pt idx="16">
                  <c:v>6.0307379214091683E-2</c:v>
                </c:pt>
                <c:pt idx="17">
                  <c:v>1.519224698779198E-2</c:v>
                </c:pt>
                <c:pt idx="18">
                  <c:v>0</c:v>
                </c:pt>
                <c:pt idx="19">
                  <c:v>1.519224698779198E-2</c:v>
                </c:pt>
                <c:pt idx="20">
                  <c:v>6.0307379214091572E-2</c:v>
                </c:pt>
                <c:pt idx="21">
                  <c:v>0.1339745962155614</c:v>
                </c:pt>
                <c:pt idx="22">
                  <c:v>0.23395555688102199</c:v>
                </c:pt>
                <c:pt idx="23">
                  <c:v>0.35721239031346053</c:v>
                </c:pt>
                <c:pt idx="24">
                  <c:v>0.49999999999999956</c:v>
                </c:pt>
                <c:pt idx="25">
                  <c:v>0.65797985667433145</c:v>
                </c:pt>
                <c:pt idx="26">
                  <c:v>0.8263518223330697</c:v>
                </c:pt>
                <c:pt idx="27">
                  <c:v>0.99999999999999978</c:v>
                </c:pt>
                <c:pt idx="28">
                  <c:v>1.1736481776669301</c:v>
                </c:pt>
                <c:pt idx="29">
                  <c:v>1.3420201433256689</c:v>
                </c:pt>
                <c:pt idx="30">
                  <c:v>1.5</c:v>
                </c:pt>
                <c:pt idx="31">
                  <c:v>1.6427876096865393</c:v>
                </c:pt>
                <c:pt idx="32">
                  <c:v>1.7660444431189779</c:v>
                </c:pt>
                <c:pt idx="33">
                  <c:v>1.8660254037844384</c:v>
                </c:pt>
                <c:pt idx="34">
                  <c:v>1.9396926207859084</c:v>
                </c:pt>
                <c:pt idx="35">
                  <c:v>1.9848077530122081</c:v>
                </c:pt>
                <c:pt idx="36">
                  <c:v>2</c:v>
                </c:pt>
              </c:numCache>
            </c:numRef>
          </c:xVal>
          <c:yVal>
            <c:numRef>
              <c:f>Calculadora!$I$49:$I$85</c:f>
              <c:numCache>
                <c:formatCode>General</c:formatCode>
                <c:ptCount val="37"/>
                <c:pt idx="0">
                  <c:v>1</c:v>
                </c:pt>
                <c:pt idx="1">
                  <c:v>1.1736481776669303</c:v>
                </c:pt>
                <c:pt idx="2">
                  <c:v>1.3420201433256687</c:v>
                </c:pt>
                <c:pt idx="3">
                  <c:v>1.5</c:v>
                </c:pt>
                <c:pt idx="4">
                  <c:v>1.6427876096865393</c:v>
                </c:pt>
                <c:pt idx="5">
                  <c:v>1.7660444431189779</c:v>
                </c:pt>
                <c:pt idx="6">
                  <c:v>1.8660254037844386</c:v>
                </c:pt>
                <c:pt idx="7">
                  <c:v>1.9396926207859084</c:v>
                </c:pt>
                <c:pt idx="8">
                  <c:v>1.9848077530122081</c:v>
                </c:pt>
                <c:pt idx="9">
                  <c:v>2</c:v>
                </c:pt>
                <c:pt idx="10">
                  <c:v>1.9848077530122081</c:v>
                </c:pt>
                <c:pt idx="11">
                  <c:v>1.9396926207859084</c:v>
                </c:pt>
                <c:pt idx="12">
                  <c:v>1.8660254037844388</c:v>
                </c:pt>
                <c:pt idx="13">
                  <c:v>1.7660444431189779</c:v>
                </c:pt>
                <c:pt idx="14">
                  <c:v>1.6427876096865395</c:v>
                </c:pt>
                <c:pt idx="15">
                  <c:v>1.5</c:v>
                </c:pt>
                <c:pt idx="16">
                  <c:v>1.3420201433256689</c:v>
                </c:pt>
                <c:pt idx="17">
                  <c:v>1.1736481776669303</c:v>
                </c:pt>
                <c:pt idx="18">
                  <c:v>1.0000000000000002</c:v>
                </c:pt>
                <c:pt idx="19">
                  <c:v>0.82635182233306947</c:v>
                </c:pt>
                <c:pt idx="20">
                  <c:v>0.65797985667433134</c:v>
                </c:pt>
                <c:pt idx="21">
                  <c:v>0.49999999999999989</c:v>
                </c:pt>
                <c:pt idx="22">
                  <c:v>0.35721239031346075</c:v>
                </c:pt>
                <c:pt idx="23">
                  <c:v>0.2339555568810221</c:v>
                </c:pt>
                <c:pt idx="24">
                  <c:v>0.13397459621556163</c:v>
                </c:pt>
                <c:pt idx="25">
                  <c:v>6.0307379214091572E-2</c:v>
                </c:pt>
                <c:pt idx="26">
                  <c:v>1.519224698779198E-2</c:v>
                </c:pt>
                <c:pt idx="27">
                  <c:v>0</c:v>
                </c:pt>
                <c:pt idx="28">
                  <c:v>1.5192246987791869E-2</c:v>
                </c:pt>
                <c:pt idx="29">
                  <c:v>6.0307379214091683E-2</c:v>
                </c:pt>
                <c:pt idx="30">
                  <c:v>0.1339745962155614</c:v>
                </c:pt>
                <c:pt idx="31">
                  <c:v>0.23395555688102188</c:v>
                </c:pt>
                <c:pt idx="32">
                  <c:v>0.35721239031346042</c:v>
                </c:pt>
                <c:pt idx="33">
                  <c:v>0.49999999999999956</c:v>
                </c:pt>
                <c:pt idx="34">
                  <c:v>0.65797985667433134</c:v>
                </c:pt>
                <c:pt idx="35">
                  <c:v>0.82635182233306959</c:v>
                </c:pt>
                <c:pt idx="36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EA-4A4B-A271-71F461A2E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18927"/>
        <c:axId val="1520319759"/>
      </c:scatterChart>
      <c:valAx>
        <c:axId val="1520318927"/>
        <c:scaling>
          <c:orientation val="minMax"/>
          <c:min val="-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9759"/>
        <c:crossesAt val="-0.1"/>
        <c:crossBetween val="midCat"/>
      </c:valAx>
      <c:valAx>
        <c:axId val="1520319759"/>
        <c:scaling>
          <c:orientation val="minMax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8927"/>
        <c:crossesAt val="-0.2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913929-606E-458D-BDAC-56E8C8B00185}">
  <sheetPr codeName="Chart5"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52EF7C-8306-440D-AA44-8C131EC17F20}">
  <sheetPr codeName="Chart6"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A4E842-5968-4A4F-9E77-EE3A4CC6A439}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C2F9019-9A16-4469-9F77-1E37CF8DD74C}">
  <sheetPr codeName="Chart8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Style="combo" dx="22" fmlaLink="C9" fmlaRange="$H$5:$H$8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Drop" dropStyle="combo" dx="22" fmlaLink="D9" fmlaRange="$H$5:$H$8" noThreeD="1" sel="1" val="0"/>
</file>

<file path=xl/ctrlProps/ctrlProp7.xml><?xml version="1.0" encoding="utf-8"?>
<formControlPr xmlns="http://schemas.microsoft.com/office/spreadsheetml/2009/9/main" objectType="Drop" dropStyle="combo" dx="22" fmlaLink="E9" fmlaRange="$H$5:$H$8" noThreeD="1" sel="3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180975</xdr:rowOff>
        </xdr:from>
        <xdr:to>
          <xdr:col>2</xdr:col>
          <xdr:colOff>904875</xdr:colOff>
          <xdr:row>9</xdr:row>
          <xdr:rowOff>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0</xdr:rowOff>
        </xdr:from>
        <xdr:to>
          <xdr:col>2</xdr:col>
          <xdr:colOff>866775</xdr:colOff>
          <xdr:row>31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</xdr:row>
          <xdr:rowOff>19050</xdr:rowOff>
        </xdr:from>
        <xdr:to>
          <xdr:col>0</xdr:col>
          <xdr:colOff>1495425</xdr:colOff>
          <xdr:row>3</xdr:row>
          <xdr:rowOff>238125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Conozco el caudal (Q)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0</xdr:rowOff>
        </xdr:from>
        <xdr:to>
          <xdr:col>0</xdr:col>
          <xdr:colOff>1457325</xdr:colOff>
          <xdr:row>4</xdr:row>
          <xdr:rowOff>219075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Conozco la velocidad (V)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9525</xdr:rowOff>
        </xdr:from>
        <xdr:to>
          <xdr:col>0</xdr:col>
          <xdr:colOff>1647825</xdr:colOff>
          <xdr:row>5</xdr:row>
          <xdr:rowOff>228600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Conozco las dimensiones (y)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180975</xdr:rowOff>
        </xdr:from>
        <xdr:to>
          <xdr:col>5</xdr:col>
          <xdr:colOff>885825</xdr:colOff>
          <xdr:row>9</xdr:row>
          <xdr:rowOff>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5</xdr:col>
          <xdr:colOff>857250</xdr:colOff>
          <xdr:row>9</xdr:row>
          <xdr:rowOff>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180975</xdr:rowOff>
        </xdr:from>
        <xdr:to>
          <xdr:col>3</xdr:col>
          <xdr:colOff>857250</xdr:colOff>
          <xdr:row>31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29</xdr:row>
          <xdr:rowOff>180975</xdr:rowOff>
        </xdr:from>
        <xdr:to>
          <xdr:col>4</xdr:col>
          <xdr:colOff>866775</xdr:colOff>
          <xdr:row>31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804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804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804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hyperlink" Target="https://www.linkedin.com/in/luis-quintero-sustainability/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0"/>
  <sheetViews>
    <sheetView tabSelected="1" zoomScale="86" zoomScaleNormal="100" workbookViewId="0">
      <selection activeCell="F6" sqref="F6"/>
    </sheetView>
  </sheetViews>
  <sheetFormatPr defaultRowHeight="15" x14ac:dyDescent="0.25"/>
  <cols>
    <col min="1" max="1" width="29" style="2" customWidth="1"/>
    <col min="2" max="2" width="15" style="2" customWidth="1"/>
    <col min="3" max="3" width="13.7109375" style="2" customWidth="1"/>
    <col min="4" max="4" width="13.7109375" style="2" hidden="1" customWidth="1"/>
    <col min="5" max="5" width="13.5703125" style="2" hidden="1" customWidth="1"/>
    <col min="6" max="6" width="13.5703125" style="2" customWidth="1"/>
    <col min="7" max="8" width="9.140625" style="2" hidden="1" customWidth="1"/>
    <col min="9" max="9" width="13.5703125" style="2" hidden="1" customWidth="1"/>
    <col min="10" max="11" width="9.140625" style="2"/>
    <col min="12" max="12" width="13.5703125" style="2" customWidth="1"/>
    <col min="13" max="16384" width="9.140625" style="2"/>
  </cols>
  <sheetData>
    <row r="1" spans="1:14" x14ac:dyDescent="0.25">
      <c r="B1" s="1"/>
      <c r="C1" s="1"/>
      <c r="D1" s="1"/>
      <c r="E1" s="1"/>
      <c r="F1" s="3"/>
    </row>
    <row r="2" spans="1:14" ht="18" x14ac:dyDescent="0.25">
      <c r="A2" s="34" t="s">
        <v>21</v>
      </c>
    </row>
    <row r="4" spans="1:14" ht="19.5" customHeight="1" x14ac:dyDescent="0.25"/>
    <row r="5" spans="1:14" ht="18" customHeight="1" x14ac:dyDescent="0.25">
      <c r="H5" s="6" t="s">
        <v>0</v>
      </c>
    </row>
    <row r="6" spans="1:14" ht="18.75" customHeight="1" x14ac:dyDescent="0.25">
      <c r="H6" s="6" t="s">
        <v>1</v>
      </c>
    </row>
    <row r="7" spans="1:14" x14ac:dyDescent="0.25">
      <c r="A7" s="20"/>
      <c r="B7" s="20"/>
      <c r="C7" s="20"/>
      <c r="D7" s="20"/>
      <c r="E7" s="20"/>
      <c r="H7" s="6" t="s">
        <v>2</v>
      </c>
    </row>
    <row r="8" spans="1:14" s="4" customFormat="1" x14ac:dyDescent="0.25">
      <c r="A8" s="30" t="s">
        <v>45</v>
      </c>
      <c r="B8" s="30" t="s">
        <v>22</v>
      </c>
      <c r="C8" s="30" t="s">
        <v>46</v>
      </c>
      <c r="D8" s="30" t="s">
        <v>46</v>
      </c>
      <c r="E8" s="30" t="s">
        <v>46</v>
      </c>
      <c r="F8" s="2"/>
      <c r="H8" s="6" t="s">
        <v>3</v>
      </c>
    </row>
    <row r="9" spans="1:14" x14ac:dyDescent="0.25">
      <c r="A9" s="2" t="s">
        <v>25</v>
      </c>
      <c r="C9" s="2">
        <v>4</v>
      </c>
      <c r="D9" s="2">
        <v>1</v>
      </c>
      <c r="E9" s="2">
        <v>3</v>
      </c>
      <c r="H9" s="1"/>
    </row>
    <row r="10" spans="1:14" x14ac:dyDescent="0.25">
      <c r="A10" s="2" t="s">
        <v>5</v>
      </c>
      <c r="B10" s="2" t="s">
        <v>41</v>
      </c>
      <c r="C10" s="32"/>
      <c r="D10" s="5">
        <f>D11*D12</f>
        <v>0</v>
      </c>
      <c r="E10" s="5" t="e">
        <f>E11*E12</f>
        <v>#DIV/0!</v>
      </c>
      <c r="L10" s="31"/>
      <c r="M10" s="31"/>
      <c r="N10" s="31"/>
    </row>
    <row r="11" spans="1:14" x14ac:dyDescent="0.25">
      <c r="A11" s="2" t="s">
        <v>6</v>
      </c>
      <c r="B11" s="2" t="s">
        <v>39</v>
      </c>
      <c r="C11" s="5" t="e">
        <f>C10/C12</f>
        <v>#DIV/0!</v>
      </c>
      <c r="D11" s="32"/>
      <c r="E11" s="5" t="e">
        <f>E14^(2/3)*E17^(1/2)/E18</f>
        <v>#DIV/0!</v>
      </c>
      <c r="H11" s="23" t="s">
        <v>23</v>
      </c>
      <c r="I11" s="24"/>
      <c r="L11" s="31"/>
      <c r="M11" s="31"/>
      <c r="N11" s="31"/>
    </row>
    <row r="12" spans="1:14" x14ac:dyDescent="0.25">
      <c r="A12" s="2" t="s">
        <v>7</v>
      </c>
      <c r="B12" s="2" t="s">
        <v>40</v>
      </c>
      <c r="C12" s="5" t="e">
        <f>IF(C9=1,C21*C24+C22*C24^2,IF(C9=2,C21*C24,IF(C9=3,C22*C24^2,IF(C9=4,(C27-SIN(C27))*(C19^2/8),"NPI"))))</f>
        <v>#DIV/0!</v>
      </c>
      <c r="D12" s="5">
        <f>IF(D9=1,D21*D24+D22*D24^2,IF(D9=2,D21*D24,IF(D9=3,D22*D24^2,IF(D9=4,(D27-SIN(D27))*(D19^2/8),"NPI"))))</f>
        <v>0</v>
      </c>
      <c r="E12" s="5">
        <f>IF(E9=1,E21*E24+E22*E24^2,IF(E9=2,E21*E24,IF(E9=3,E22*E24^2,IF(E9=4,(E27-SIN(E27))*(E19^2/8),"NPI"))))</f>
        <v>0</v>
      </c>
      <c r="H12" s="7" t="s">
        <v>19</v>
      </c>
      <c r="I12" s="8" t="s">
        <v>20</v>
      </c>
      <c r="L12" s="31"/>
      <c r="M12" s="31"/>
      <c r="N12" s="31"/>
    </row>
    <row r="13" spans="1:14" x14ac:dyDescent="0.25">
      <c r="A13" s="2" t="s">
        <v>8</v>
      </c>
      <c r="B13" s="2" t="s">
        <v>38</v>
      </c>
      <c r="C13" s="5" t="e">
        <f>IF(C9=1,C21+2*C24*SQRT(1+C22^2),IF(C9=2,C21+2*C24,IF(C9=3,2*C24*SQRT(1+C22^2),IF(C9=4,C27*C19/2,"NPI"))))</f>
        <v>#DIV/0!</v>
      </c>
      <c r="D13" s="5">
        <f>IF(D9=1,D21+2*D24*SQRT(1+D22^2),IF(D9=2,D21+2*D24,IF(D9=3,2*D24*SQRT(1+D22^2),IF(D9=4,D27*D19/2,"NPI"))))</f>
        <v>0.2</v>
      </c>
      <c r="E13" s="5">
        <f>IF(E9=1,E21+2*E24*SQRT(1+E22^2),IF(E9=2,E21+2*E24,IF(E9=3,2*E24*SQRT(1+E22^2),IF(E9=4,E27*E19/2,"NPI"))))</f>
        <v>0</v>
      </c>
      <c r="H13" s="9">
        <v>0</v>
      </c>
      <c r="I13" s="10">
        <v>2</v>
      </c>
      <c r="L13" s="31"/>
      <c r="M13" s="31"/>
      <c r="N13" s="31"/>
    </row>
    <row r="14" spans="1:14" x14ac:dyDescent="0.25">
      <c r="A14" s="2" t="s">
        <v>9</v>
      </c>
      <c r="B14" s="2" t="s">
        <v>38</v>
      </c>
      <c r="C14" s="5" t="e">
        <f>C12/C13</f>
        <v>#DIV/0!</v>
      </c>
      <c r="D14" s="5">
        <f t="shared" ref="D14:E14" si="0">D12/D13</f>
        <v>0</v>
      </c>
      <c r="E14" s="5" t="e">
        <f t="shared" si="0"/>
        <v>#DIV/0!</v>
      </c>
      <c r="H14" s="9">
        <v>0</v>
      </c>
      <c r="I14" s="11">
        <v>0</v>
      </c>
      <c r="L14" s="31"/>
      <c r="M14" s="31"/>
      <c r="N14" s="31"/>
    </row>
    <row r="15" spans="1:14" x14ac:dyDescent="0.25">
      <c r="A15" s="2" t="s">
        <v>36</v>
      </c>
      <c r="B15" s="2" t="s">
        <v>38</v>
      </c>
      <c r="C15" s="5" t="e">
        <f>IF(C9=1,C21+2*C22*C24,IF(C9=2,C21,IF(C9=3,2*C22*C24,IF(C9=4,C19*SIN(C27/2),"NPI"))))</f>
        <v>#DIV/0!</v>
      </c>
      <c r="D15" s="5">
        <f t="shared" ref="D15" si="1">IF(D9=1,D21+2*D22*D24,IF(D9=2,D21,IF(D9=3,2*D22*D24,IF(D9=4,D19*SIN(D27/2),"NPI"))))</f>
        <v>0</v>
      </c>
      <c r="E15" s="5">
        <f>IF(E9=1,E21+2*E22*E24,IF(E9=2,E21,IF(E9=3,2*E22*E24,IF(E9=4,E19*SIN(E27/2),"NPI"))))</f>
        <v>0</v>
      </c>
      <c r="H15" s="12">
        <v>2</v>
      </c>
      <c r="I15" s="11">
        <v>0</v>
      </c>
      <c r="L15" s="31"/>
      <c r="M15" s="31"/>
      <c r="N15" s="31"/>
    </row>
    <row r="16" spans="1:14" x14ac:dyDescent="0.25">
      <c r="A16" s="2" t="s">
        <v>37</v>
      </c>
      <c r="B16" s="2" t="s">
        <v>38</v>
      </c>
      <c r="C16" s="5" t="e">
        <f>C12/C15</f>
        <v>#DIV/0!</v>
      </c>
      <c r="D16" s="5" t="e">
        <f t="shared" ref="D16" si="2">D12/D15</f>
        <v>#DIV/0!</v>
      </c>
      <c r="E16" s="5" t="e">
        <f>E12/E15</f>
        <v>#DIV/0!</v>
      </c>
      <c r="H16" s="9">
        <f>H15</f>
        <v>2</v>
      </c>
      <c r="I16" s="11">
        <f>I13</f>
        <v>2</v>
      </c>
      <c r="L16" s="31"/>
      <c r="M16" s="31"/>
      <c r="N16" s="31"/>
    </row>
    <row r="17" spans="1:14" x14ac:dyDescent="0.25">
      <c r="A17" s="2" t="s">
        <v>10</v>
      </c>
      <c r="B17" s="2" t="s">
        <v>42</v>
      </c>
      <c r="C17" s="32">
        <v>0.01</v>
      </c>
      <c r="D17" s="32"/>
      <c r="E17" s="32">
        <v>0.01</v>
      </c>
      <c r="H17" s="7" t="s">
        <v>24</v>
      </c>
      <c r="I17" s="8"/>
      <c r="L17" s="31"/>
      <c r="M17" s="31"/>
      <c r="N17" s="31"/>
    </row>
    <row r="18" spans="1:14" x14ac:dyDescent="0.25">
      <c r="A18" s="2" t="s">
        <v>11</v>
      </c>
      <c r="C18" s="32">
        <v>1.2999999999999999E-2</v>
      </c>
      <c r="D18" s="32"/>
      <c r="E18" s="32">
        <v>1.2999999999999999E-2</v>
      </c>
      <c r="H18" s="7" t="s">
        <v>19</v>
      </c>
      <c r="I18" s="8" t="s">
        <v>20</v>
      </c>
      <c r="L18" s="31"/>
      <c r="M18" s="31"/>
      <c r="N18" s="31"/>
    </row>
    <row r="19" spans="1:14" x14ac:dyDescent="0.25">
      <c r="A19" s="2" t="s">
        <v>31</v>
      </c>
      <c r="B19" s="2" t="s">
        <v>38</v>
      </c>
      <c r="C19" s="32"/>
      <c r="D19" s="32"/>
      <c r="E19" s="32"/>
      <c r="H19" s="9">
        <f>H13</f>
        <v>0</v>
      </c>
      <c r="I19" s="10">
        <v>1.6</v>
      </c>
      <c r="L19" s="31"/>
      <c r="M19" s="31"/>
      <c r="N19" s="31"/>
    </row>
    <row r="20" spans="1:14" x14ac:dyDescent="0.25">
      <c r="A20" s="2" t="s">
        <v>30</v>
      </c>
      <c r="C20" s="5" t="e">
        <f>C21/C19</f>
        <v>#DIV/0!</v>
      </c>
      <c r="D20" s="5" t="e">
        <f>D21/D19</f>
        <v>#DIV/0!</v>
      </c>
      <c r="E20" s="5" t="e">
        <f t="shared" ref="E20" si="3">E21/E19</f>
        <v>#DIV/0!</v>
      </c>
      <c r="H20" s="13">
        <f>$H$16</f>
        <v>2</v>
      </c>
      <c r="I20" s="14">
        <f>I19</f>
        <v>1.6</v>
      </c>
      <c r="L20" s="31"/>
      <c r="M20" s="31"/>
      <c r="N20" s="31"/>
    </row>
    <row r="21" spans="1:14" x14ac:dyDescent="0.25">
      <c r="A21" s="2" t="s">
        <v>32</v>
      </c>
      <c r="B21" s="2" t="s">
        <v>38</v>
      </c>
      <c r="C21" s="32"/>
      <c r="D21" s="32"/>
      <c r="E21" s="32"/>
      <c r="L21" s="31"/>
      <c r="M21" s="31"/>
      <c r="N21" s="31"/>
    </row>
    <row r="22" spans="1:14" x14ac:dyDescent="0.25">
      <c r="A22" s="2" t="s">
        <v>16</v>
      </c>
      <c r="C22" s="32"/>
      <c r="D22" s="32"/>
      <c r="E22" s="32"/>
      <c r="H22" s="15" t="s">
        <v>15</v>
      </c>
      <c r="I22" s="16">
        <v>3</v>
      </c>
      <c r="L22" s="31"/>
      <c r="M22" s="31"/>
      <c r="N22" s="31"/>
    </row>
    <row r="23" spans="1:14" x14ac:dyDescent="0.25">
      <c r="A23" s="2" t="s">
        <v>33</v>
      </c>
      <c r="C23" s="5" t="e">
        <f>C24/C19</f>
        <v>#DIV/0!</v>
      </c>
      <c r="D23" s="5" t="e">
        <f>D24/D19</f>
        <v>#DIV/0!</v>
      </c>
      <c r="E23" s="5" t="e">
        <f>E24/E19</f>
        <v>#DIV/0!</v>
      </c>
      <c r="H23" s="9" t="s">
        <v>14</v>
      </c>
      <c r="I23" s="21">
        <f>H15</f>
        <v>2</v>
      </c>
      <c r="L23" s="31"/>
      <c r="M23" s="31"/>
      <c r="N23" s="31"/>
    </row>
    <row r="24" spans="1:14" x14ac:dyDescent="0.25">
      <c r="A24" s="2" t="s">
        <v>12</v>
      </c>
      <c r="B24" s="2" t="s">
        <v>38</v>
      </c>
      <c r="C24" s="33">
        <v>0.1</v>
      </c>
      <c r="D24" s="33">
        <v>0.1</v>
      </c>
      <c r="E24" s="32"/>
      <c r="H24" s="25" t="s">
        <v>26</v>
      </c>
      <c r="I24" s="26"/>
      <c r="L24" s="31"/>
      <c r="M24" s="31"/>
      <c r="N24" s="31"/>
    </row>
    <row r="25" spans="1:14" x14ac:dyDescent="0.25">
      <c r="A25" s="5" t="s">
        <v>4</v>
      </c>
      <c r="B25" s="5" t="s">
        <v>39</v>
      </c>
      <c r="C25" s="5" t="e">
        <f>IF(C9=1,(1/C18)*((C21+C22*C24)*C24)*(((C21+C22*C24)*C24)/(C21+2*C24*SQRT(1+C22^2)))^(2/3)*C17^(1/2),IF(C9=2,(1/C18)*C21*C24*(C21*C24/(C21+2*C24))^(2/3)*C17^(1/2),IF(C9=3,(1/C18)*C22*C24^2*(C22*C24/(2*SQRT(1+C22^2)))^(2/3)*C17^(1/2),IF(C9=4,(C12/C18)*C14^(2/3)*C17^(1/2),"NPI"))))</f>
        <v>#DIV/0!</v>
      </c>
      <c r="D25" s="5"/>
      <c r="E25" s="5"/>
      <c r="H25" s="7" t="s">
        <v>19</v>
      </c>
      <c r="I25" s="8" t="s">
        <v>20</v>
      </c>
      <c r="L25" s="31"/>
      <c r="M25" s="31"/>
      <c r="N25" s="31"/>
    </row>
    <row r="26" spans="1:14" x14ac:dyDescent="0.25">
      <c r="A26" s="5" t="s">
        <v>13</v>
      </c>
      <c r="B26" s="5" t="s">
        <v>40</v>
      </c>
      <c r="C26" s="5"/>
      <c r="D26" s="5" t="e">
        <f>IF(D9=1,(1/D18)*(((D21+D22*D24)*D24)/(D21+2*D24*SQRT(1+D22^2)))^(2/3)*D17^(1/2),IF(D9=2,(1/D18)*(D21*D24/(D21+2*D24))^(2/3)*D17^(1/2),IF(D9=3,(1/D18)*(D22*D24/(2*SQRT(1+D22^2)))^(2/3)*D17^(1/2),IF(D9=4,(1/D18)*D14^(2/3)*D17^(1/2),"NPI"))))</f>
        <v>#DIV/0!</v>
      </c>
      <c r="E26" s="5"/>
      <c r="H26" s="9">
        <v>0</v>
      </c>
      <c r="I26" s="21">
        <f>I13</f>
        <v>2</v>
      </c>
      <c r="L26" s="31"/>
      <c r="M26" s="31"/>
      <c r="N26" s="31"/>
    </row>
    <row r="27" spans="1:14" x14ac:dyDescent="0.25">
      <c r="A27" s="2" t="s">
        <v>34</v>
      </c>
      <c r="B27" s="2" t="s">
        <v>43</v>
      </c>
      <c r="C27" s="5" t="e">
        <f t="shared" ref="C27:E27" si="4">IF(C9=4,2*ACOS(1-2*C24/C19),"")</f>
        <v>#DIV/0!</v>
      </c>
      <c r="D27" s="5" t="str">
        <f t="shared" si="4"/>
        <v/>
      </c>
      <c r="E27" s="5" t="str">
        <f t="shared" si="4"/>
        <v/>
      </c>
      <c r="H27" s="9">
        <f>I26*$I$22</f>
        <v>6</v>
      </c>
      <c r="I27" s="11">
        <v>0</v>
      </c>
      <c r="L27" s="31"/>
      <c r="M27" s="31"/>
      <c r="N27" s="31"/>
    </row>
    <row r="28" spans="1:14" x14ac:dyDescent="0.25">
      <c r="A28" s="2" t="s">
        <v>34</v>
      </c>
      <c r="B28" s="2" t="s">
        <v>44</v>
      </c>
      <c r="C28" s="5" t="e">
        <f>IF(C9=4,DEGREES(C27),"")</f>
        <v>#DIV/0!</v>
      </c>
      <c r="D28" s="5" t="str">
        <f t="shared" ref="D28:E28" si="5">IF(D9=4,DEGREES(D27),"")</f>
        <v/>
      </c>
      <c r="E28" s="5" t="str">
        <f t="shared" si="5"/>
        <v/>
      </c>
      <c r="H28" s="9">
        <f>$I$23+H27</f>
        <v>8</v>
      </c>
      <c r="I28" s="11">
        <v>0</v>
      </c>
      <c r="L28" s="31"/>
      <c r="M28" s="31"/>
      <c r="N28" s="31"/>
    </row>
    <row r="29" spans="1:14" x14ac:dyDescent="0.25">
      <c r="A29" s="2" t="s">
        <v>35</v>
      </c>
      <c r="C29" s="5" t="e">
        <f>C11/SQRT(9.81*C16)</f>
        <v>#DIV/0!</v>
      </c>
      <c r="D29" s="5" t="e">
        <f t="shared" ref="D29:E29" si="6">D11/SQRT(9.81*D16)</f>
        <v>#DIV/0!</v>
      </c>
      <c r="E29" s="5" t="e">
        <f t="shared" si="6"/>
        <v>#DIV/0!</v>
      </c>
      <c r="H29" s="9">
        <f>H27+H28</f>
        <v>14</v>
      </c>
      <c r="I29" s="11">
        <f>I26</f>
        <v>2</v>
      </c>
      <c r="L29" s="31"/>
      <c r="M29" s="31"/>
      <c r="N29" s="31"/>
    </row>
    <row r="30" spans="1:14" x14ac:dyDescent="0.25">
      <c r="H30" s="7" t="s">
        <v>24</v>
      </c>
      <c r="I30" s="8"/>
    </row>
    <row r="31" spans="1:14" x14ac:dyDescent="0.25">
      <c r="H31" s="7" t="s">
        <v>19</v>
      </c>
      <c r="I31" s="8" t="s">
        <v>20</v>
      </c>
    </row>
    <row r="32" spans="1:14" x14ac:dyDescent="0.25">
      <c r="H32" s="9">
        <f>H27-I32*$I$22</f>
        <v>1.1999999999999993</v>
      </c>
      <c r="I32" s="21">
        <f>I19</f>
        <v>1.6</v>
      </c>
    </row>
    <row r="33" spans="1:9" x14ac:dyDescent="0.25">
      <c r="A33" s="35" t="s">
        <v>47</v>
      </c>
      <c r="H33" s="13">
        <f>H28+I33*$I$22</f>
        <v>12.8</v>
      </c>
      <c r="I33" s="14">
        <f>I32</f>
        <v>1.6</v>
      </c>
    </row>
    <row r="35" spans="1:9" x14ac:dyDescent="0.25">
      <c r="H35" s="23" t="s">
        <v>27</v>
      </c>
      <c r="I35" s="27"/>
    </row>
    <row r="36" spans="1:9" x14ac:dyDescent="0.25">
      <c r="H36" s="7" t="s">
        <v>19</v>
      </c>
      <c r="I36" s="8" t="s">
        <v>20</v>
      </c>
    </row>
    <row r="37" spans="1:9" x14ac:dyDescent="0.25">
      <c r="H37" s="9">
        <v>0</v>
      </c>
      <c r="I37" s="21">
        <f>I13</f>
        <v>2</v>
      </c>
    </row>
    <row r="38" spans="1:9" x14ac:dyDescent="0.25">
      <c r="H38" s="9">
        <f>I37*$I$22</f>
        <v>6</v>
      </c>
      <c r="I38" s="11">
        <v>0</v>
      </c>
    </row>
    <row r="39" spans="1:9" x14ac:dyDescent="0.25">
      <c r="H39" s="9">
        <f>I37*$I$22+H38</f>
        <v>12</v>
      </c>
      <c r="I39" s="11">
        <f>I37</f>
        <v>2</v>
      </c>
    </row>
    <row r="40" spans="1:9" x14ac:dyDescent="0.25">
      <c r="H40" s="7" t="s">
        <v>24</v>
      </c>
      <c r="I40" s="11"/>
    </row>
    <row r="41" spans="1:9" x14ac:dyDescent="0.25">
      <c r="H41" s="7" t="s">
        <v>19</v>
      </c>
      <c r="I41" s="8" t="s">
        <v>20</v>
      </c>
    </row>
    <row r="42" spans="1:9" x14ac:dyDescent="0.25">
      <c r="H42" s="9">
        <f>H38-I42*$I$22</f>
        <v>1.1999999999999993</v>
      </c>
      <c r="I42" s="21">
        <f>I19</f>
        <v>1.6</v>
      </c>
    </row>
    <row r="43" spans="1:9" x14ac:dyDescent="0.25">
      <c r="H43" s="13">
        <f>H38+I42*$I$22</f>
        <v>10.8</v>
      </c>
      <c r="I43" s="14">
        <f>I42</f>
        <v>1.6</v>
      </c>
    </row>
    <row r="45" spans="1:9" x14ac:dyDescent="0.25">
      <c r="G45" s="15"/>
      <c r="H45" s="17" t="s">
        <v>28</v>
      </c>
      <c r="I45" s="22">
        <f>I13</f>
        <v>2</v>
      </c>
    </row>
    <row r="46" spans="1:9" x14ac:dyDescent="0.25">
      <c r="G46" s="9"/>
      <c r="H46" s="18" t="s">
        <v>18</v>
      </c>
      <c r="I46" s="11">
        <f>I45/2</f>
        <v>1</v>
      </c>
    </row>
    <row r="47" spans="1:9" x14ac:dyDescent="0.25">
      <c r="G47" s="28"/>
      <c r="H47" s="29" t="s">
        <v>29</v>
      </c>
      <c r="I47" s="26"/>
    </row>
    <row r="48" spans="1:9" x14ac:dyDescent="0.25">
      <c r="G48" s="7" t="s">
        <v>17</v>
      </c>
      <c r="H48" s="19" t="s">
        <v>19</v>
      </c>
      <c r="I48" s="8" t="s">
        <v>20</v>
      </c>
    </row>
    <row r="49" spans="7:9" x14ac:dyDescent="0.25">
      <c r="G49" s="9">
        <v>0</v>
      </c>
      <c r="H49" s="18">
        <f t="shared" ref="H49:H85" si="7">$I$46+$I$46*COS(RADIANS(G49))</f>
        <v>2</v>
      </c>
      <c r="I49" s="11">
        <f t="shared" ref="I49:I85" si="8">$I$46+$I$46*SIN(RADIANS(G49))</f>
        <v>1</v>
      </c>
    </row>
    <row r="50" spans="7:9" x14ac:dyDescent="0.25">
      <c r="G50" s="9">
        <f>G49+10</f>
        <v>10</v>
      </c>
      <c r="H50" s="18">
        <f t="shared" si="7"/>
        <v>1.9848077530122081</v>
      </c>
      <c r="I50" s="11">
        <f t="shared" si="8"/>
        <v>1.1736481776669303</v>
      </c>
    </row>
    <row r="51" spans="7:9" x14ac:dyDescent="0.25">
      <c r="G51" s="9">
        <f t="shared" ref="G51:G63" si="9">G50+10</f>
        <v>20</v>
      </c>
      <c r="H51" s="18">
        <f t="shared" si="7"/>
        <v>1.9396926207859084</v>
      </c>
      <c r="I51" s="11">
        <f t="shared" si="8"/>
        <v>1.3420201433256687</v>
      </c>
    </row>
    <row r="52" spans="7:9" x14ac:dyDescent="0.25">
      <c r="G52" s="9">
        <f t="shared" si="9"/>
        <v>30</v>
      </c>
      <c r="H52" s="18">
        <f t="shared" si="7"/>
        <v>1.8660254037844388</v>
      </c>
      <c r="I52" s="11">
        <f t="shared" si="8"/>
        <v>1.5</v>
      </c>
    </row>
    <row r="53" spans="7:9" x14ac:dyDescent="0.25">
      <c r="G53" s="9">
        <f t="shared" si="9"/>
        <v>40</v>
      </c>
      <c r="H53" s="18">
        <f t="shared" si="7"/>
        <v>1.7660444431189779</v>
      </c>
      <c r="I53" s="11">
        <f t="shared" si="8"/>
        <v>1.6427876096865393</v>
      </c>
    </row>
    <row r="54" spans="7:9" x14ac:dyDescent="0.25">
      <c r="G54" s="9">
        <f t="shared" si="9"/>
        <v>50</v>
      </c>
      <c r="H54" s="18">
        <f t="shared" si="7"/>
        <v>1.6427876096865393</v>
      </c>
      <c r="I54" s="11">
        <f t="shared" si="8"/>
        <v>1.7660444431189779</v>
      </c>
    </row>
    <row r="55" spans="7:9" x14ac:dyDescent="0.25">
      <c r="G55" s="9">
        <f t="shared" si="9"/>
        <v>60</v>
      </c>
      <c r="H55" s="18">
        <f t="shared" si="7"/>
        <v>1.5</v>
      </c>
      <c r="I55" s="11">
        <f t="shared" si="8"/>
        <v>1.8660254037844386</v>
      </c>
    </row>
    <row r="56" spans="7:9" x14ac:dyDescent="0.25">
      <c r="G56" s="9">
        <f t="shared" si="9"/>
        <v>70</v>
      </c>
      <c r="H56" s="18">
        <f t="shared" si="7"/>
        <v>1.3420201433256689</v>
      </c>
      <c r="I56" s="11">
        <f t="shared" si="8"/>
        <v>1.9396926207859084</v>
      </c>
    </row>
    <row r="57" spans="7:9" x14ac:dyDescent="0.25">
      <c r="G57" s="9">
        <f t="shared" si="9"/>
        <v>80</v>
      </c>
      <c r="H57" s="18">
        <f t="shared" si="7"/>
        <v>1.1736481776669305</v>
      </c>
      <c r="I57" s="11">
        <f t="shared" si="8"/>
        <v>1.9848077530122081</v>
      </c>
    </row>
    <row r="58" spans="7:9" x14ac:dyDescent="0.25">
      <c r="G58" s="9">
        <f t="shared" si="9"/>
        <v>90</v>
      </c>
      <c r="H58" s="18">
        <f t="shared" si="7"/>
        <v>1</v>
      </c>
      <c r="I58" s="11">
        <f t="shared" si="8"/>
        <v>2</v>
      </c>
    </row>
    <row r="59" spans="7:9" x14ac:dyDescent="0.25">
      <c r="G59" s="9">
        <f t="shared" si="9"/>
        <v>100</v>
      </c>
      <c r="H59" s="18">
        <f t="shared" si="7"/>
        <v>0.8263518223330697</v>
      </c>
      <c r="I59" s="11">
        <f t="shared" si="8"/>
        <v>1.9848077530122081</v>
      </c>
    </row>
    <row r="60" spans="7:9" x14ac:dyDescent="0.25">
      <c r="G60" s="9">
        <f t="shared" si="9"/>
        <v>110</v>
      </c>
      <c r="H60" s="18">
        <f t="shared" si="7"/>
        <v>0.65797985667433134</v>
      </c>
      <c r="I60" s="11">
        <f t="shared" si="8"/>
        <v>1.9396926207859084</v>
      </c>
    </row>
    <row r="61" spans="7:9" x14ac:dyDescent="0.25">
      <c r="G61" s="9">
        <f t="shared" si="9"/>
        <v>120</v>
      </c>
      <c r="H61" s="18">
        <f t="shared" si="7"/>
        <v>0.50000000000000022</v>
      </c>
      <c r="I61" s="11">
        <f t="shared" si="8"/>
        <v>1.8660254037844388</v>
      </c>
    </row>
    <row r="62" spans="7:9" x14ac:dyDescent="0.25">
      <c r="G62" s="9">
        <f t="shared" si="9"/>
        <v>130</v>
      </c>
      <c r="H62" s="18">
        <f t="shared" si="7"/>
        <v>0.35721239031346064</v>
      </c>
      <c r="I62" s="11">
        <f t="shared" si="8"/>
        <v>1.7660444431189779</v>
      </c>
    </row>
    <row r="63" spans="7:9" x14ac:dyDescent="0.25">
      <c r="G63" s="9">
        <f t="shared" si="9"/>
        <v>140</v>
      </c>
      <c r="H63" s="18">
        <f t="shared" si="7"/>
        <v>0.2339555568810221</v>
      </c>
      <c r="I63" s="11">
        <f t="shared" si="8"/>
        <v>1.6427876096865395</v>
      </c>
    </row>
    <row r="64" spans="7:9" x14ac:dyDescent="0.25">
      <c r="G64" s="9">
        <f t="shared" ref="G64:G85" si="10">G63+10</f>
        <v>150</v>
      </c>
      <c r="H64" s="18">
        <f t="shared" si="7"/>
        <v>0.13397459621556129</v>
      </c>
      <c r="I64" s="11">
        <f t="shared" si="8"/>
        <v>1.5</v>
      </c>
    </row>
    <row r="65" spans="7:9" x14ac:dyDescent="0.25">
      <c r="G65" s="9">
        <f t="shared" si="10"/>
        <v>160</v>
      </c>
      <c r="H65" s="18">
        <f t="shared" si="7"/>
        <v>6.0307379214091683E-2</v>
      </c>
      <c r="I65" s="11">
        <f t="shared" si="8"/>
        <v>1.3420201433256689</v>
      </c>
    </row>
    <row r="66" spans="7:9" x14ac:dyDescent="0.25">
      <c r="G66" s="9">
        <f t="shared" si="10"/>
        <v>170</v>
      </c>
      <c r="H66" s="18">
        <f t="shared" si="7"/>
        <v>1.519224698779198E-2</v>
      </c>
      <c r="I66" s="11">
        <f t="shared" si="8"/>
        <v>1.1736481776669303</v>
      </c>
    </row>
    <row r="67" spans="7:9" x14ac:dyDescent="0.25">
      <c r="G67" s="9">
        <f t="shared" si="10"/>
        <v>180</v>
      </c>
      <c r="H67" s="18">
        <f t="shared" si="7"/>
        <v>0</v>
      </c>
      <c r="I67" s="11">
        <f t="shared" si="8"/>
        <v>1.0000000000000002</v>
      </c>
    </row>
    <row r="68" spans="7:9" x14ac:dyDescent="0.25">
      <c r="G68" s="9">
        <f t="shared" si="10"/>
        <v>190</v>
      </c>
      <c r="H68" s="18">
        <f t="shared" si="7"/>
        <v>1.519224698779198E-2</v>
      </c>
      <c r="I68" s="11">
        <f t="shared" si="8"/>
        <v>0.82635182233306947</v>
      </c>
    </row>
    <row r="69" spans="7:9" x14ac:dyDescent="0.25">
      <c r="G69" s="9">
        <f t="shared" si="10"/>
        <v>200</v>
      </c>
      <c r="H69" s="18">
        <f t="shared" si="7"/>
        <v>6.0307379214091572E-2</v>
      </c>
      <c r="I69" s="11">
        <f t="shared" si="8"/>
        <v>0.65797985667433134</v>
      </c>
    </row>
    <row r="70" spans="7:9" x14ac:dyDescent="0.25">
      <c r="G70" s="9">
        <f t="shared" si="10"/>
        <v>210</v>
      </c>
      <c r="H70" s="18">
        <f t="shared" si="7"/>
        <v>0.1339745962155614</v>
      </c>
      <c r="I70" s="11">
        <f t="shared" si="8"/>
        <v>0.49999999999999989</v>
      </c>
    </row>
    <row r="71" spans="7:9" x14ac:dyDescent="0.25">
      <c r="G71" s="9">
        <f t="shared" si="10"/>
        <v>220</v>
      </c>
      <c r="H71" s="18">
        <f t="shared" si="7"/>
        <v>0.23395555688102199</v>
      </c>
      <c r="I71" s="11">
        <f t="shared" si="8"/>
        <v>0.35721239031346075</v>
      </c>
    </row>
    <row r="72" spans="7:9" x14ac:dyDescent="0.25">
      <c r="G72" s="9">
        <f t="shared" si="10"/>
        <v>230</v>
      </c>
      <c r="H72" s="18">
        <f t="shared" si="7"/>
        <v>0.35721239031346053</v>
      </c>
      <c r="I72" s="11">
        <f t="shared" si="8"/>
        <v>0.2339555568810221</v>
      </c>
    </row>
    <row r="73" spans="7:9" x14ac:dyDescent="0.25">
      <c r="G73" s="9">
        <f t="shared" si="10"/>
        <v>240</v>
      </c>
      <c r="H73" s="18">
        <f t="shared" si="7"/>
        <v>0.49999999999999956</v>
      </c>
      <c r="I73" s="11">
        <f t="shared" si="8"/>
        <v>0.13397459621556163</v>
      </c>
    </row>
    <row r="74" spans="7:9" x14ac:dyDescent="0.25">
      <c r="G74" s="9">
        <f t="shared" si="10"/>
        <v>250</v>
      </c>
      <c r="H74" s="18">
        <f t="shared" si="7"/>
        <v>0.65797985667433145</v>
      </c>
      <c r="I74" s="11">
        <f t="shared" si="8"/>
        <v>6.0307379214091572E-2</v>
      </c>
    </row>
    <row r="75" spans="7:9" x14ac:dyDescent="0.25">
      <c r="G75" s="9">
        <f t="shared" si="10"/>
        <v>260</v>
      </c>
      <c r="H75" s="18">
        <f t="shared" si="7"/>
        <v>0.8263518223330697</v>
      </c>
      <c r="I75" s="11">
        <f t="shared" si="8"/>
        <v>1.519224698779198E-2</v>
      </c>
    </row>
    <row r="76" spans="7:9" x14ac:dyDescent="0.25">
      <c r="G76" s="9">
        <f t="shared" si="10"/>
        <v>270</v>
      </c>
      <c r="H76" s="18">
        <f t="shared" si="7"/>
        <v>0.99999999999999978</v>
      </c>
      <c r="I76" s="11">
        <f t="shared" si="8"/>
        <v>0</v>
      </c>
    </row>
    <row r="77" spans="7:9" x14ac:dyDescent="0.25">
      <c r="G77" s="9">
        <f t="shared" si="10"/>
        <v>280</v>
      </c>
      <c r="H77" s="18">
        <f t="shared" si="7"/>
        <v>1.1736481776669301</v>
      </c>
      <c r="I77" s="11">
        <f t="shared" si="8"/>
        <v>1.5192246987791869E-2</v>
      </c>
    </row>
    <row r="78" spans="7:9" x14ac:dyDescent="0.25">
      <c r="G78" s="9">
        <f t="shared" si="10"/>
        <v>290</v>
      </c>
      <c r="H78" s="18">
        <f t="shared" si="7"/>
        <v>1.3420201433256689</v>
      </c>
      <c r="I78" s="11">
        <f t="shared" si="8"/>
        <v>6.0307379214091683E-2</v>
      </c>
    </row>
    <row r="79" spans="7:9" x14ac:dyDescent="0.25">
      <c r="G79" s="9">
        <f t="shared" si="10"/>
        <v>300</v>
      </c>
      <c r="H79" s="18">
        <f t="shared" si="7"/>
        <v>1.5</v>
      </c>
      <c r="I79" s="11">
        <f t="shared" si="8"/>
        <v>0.1339745962155614</v>
      </c>
    </row>
    <row r="80" spans="7:9" x14ac:dyDescent="0.25">
      <c r="G80" s="9">
        <f t="shared" si="10"/>
        <v>310</v>
      </c>
      <c r="H80" s="18">
        <f t="shared" si="7"/>
        <v>1.6427876096865393</v>
      </c>
      <c r="I80" s="11">
        <f t="shared" si="8"/>
        <v>0.23395555688102188</v>
      </c>
    </row>
    <row r="81" spans="7:9" x14ac:dyDescent="0.25">
      <c r="G81" s="9">
        <f t="shared" si="10"/>
        <v>320</v>
      </c>
      <c r="H81" s="18">
        <f t="shared" si="7"/>
        <v>1.7660444431189779</v>
      </c>
      <c r="I81" s="11">
        <f t="shared" si="8"/>
        <v>0.35721239031346042</v>
      </c>
    </row>
    <row r="82" spans="7:9" x14ac:dyDescent="0.25">
      <c r="G82" s="9">
        <f t="shared" si="10"/>
        <v>330</v>
      </c>
      <c r="H82" s="18">
        <f t="shared" si="7"/>
        <v>1.8660254037844384</v>
      </c>
      <c r="I82" s="11">
        <f t="shared" si="8"/>
        <v>0.49999999999999956</v>
      </c>
    </row>
    <row r="83" spans="7:9" x14ac:dyDescent="0.25">
      <c r="G83" s="9">
        <f t="shared" si="10"/>
        <v>340</v>
      </c>
      <c r="H83" s="18">
        <f t="shared" si="7"/>
        <v>1.9396926207859084</v>
      </c>
      <c r="I83" s="11">
        <f t="shared" si="8"/>
        <v>0.65797985667433134</v>
      </c>
    </row>
    <row r="84" spans="7:9" x14ac:dyDescent="0.25">
      <c r="G84" s="9">
        <f t="shared" si="10"/>
        <v>350</v>
      </c>
      <c r="H84" s="18">
        <f t="shared" si="7"/>
        <v>1.9848077530122081</v>
      </c>
      <c r="I84" s="11">
        <f t="shared" si="8"/>
        <v>0.82635182233306959</v>
      </c>
    </row>
    <row r="85" spans="7:9" x14ac:dyDescent="0.25">
      <c r="G85" s="9">
        <f t="shared" si="10"/>
        <v>360</v>
      </c>
      <c r="H85" s="18">
        <f t="shared" si="7"/>
        <v>2</v>
      </c>
      <c r="I85" s="11">
        <f t="shared" si="8"/>
        <v>0.99999999999999978</v>
      </c>
    </row>
    <row r="86" spans="7:9" x14ac:dyDescent="0.25">
      <c r="G86" s="9"/>
      <c r="H86" s="18"/>
      <c r="I86" s="11"/>
    </row>
    <row r="87" spans="7:9" x14ac:dyDescent="0.25">
      <c r="G87" s="9"/>
      <c r="H87" s="19" t="s">
        <v>24</v>
      </c>
      <c r="I87" s="8"/>
    </row>
    <row r="88" spans="7:9" x14ac:dyDescent="0.25">
      <c r="G88" s="9"/>
      <c r="H88" s="19" t="s">
        <v>19</v>
      </c>
      <c r="I88" s="8" t="s">
        <v>20</v>
      </c>
    </row>
    <row r="89" spans="7:9" x14ac:dyDescent="0.25">
      <c r="G89" s="9"/>
      <c r="H89" s="18">
        <f>I46+(-SQRT(I89*(I46*2-I89)))</f>
        <v>0.20000000000000007</v>
      </c>
      <c r="I89" s="11">
        <f>I19</f>
        <v>1.6</v>
      </c>
    </row>
    <row r="90" spans="7:9" x14ac:dyDescent="0.25">
      <c r="G90" s="13"/>
      <c r="H90" s="20">
        <f>I46+(SQRT(I89*(I46*2-I89)))</f>
        <v>1.7999999999999998</v>
      </c>
      <c r="I90" s="14">
        <f>I89</f>
        <v>1.6</v>
      </c>
    </row>
  </sheetData>
  <dataValidations count="1">
    <dataValidation type="list" allowBlank="1" showInputMessage="1" showErrorMessage="1" sqref="F9" xr:uid="{74887F7F-F86C-4E15-A5FD-CF7ED68C1BC6}">
      <formula1>$H$5:$H$8</formula1>
    </dataValidation>
  </dataValidations>
  <hyperlinks>
    <hyperlink ref="A33" r:id="rId1" xr:uid="{5C6BAF76-4D26-4779-9381-40CD98DF650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Drop Down 11">
              <controlPr locked="0" defaultSize="0" autoLine="0" autoPict="0" macro="[0]!ActualizarC24">
                <anchor moveWithCells="1">
                  <from>
                    <xdr:col>2</xdr:col>
                    <xdr:colOff>19050</xdr:colOff>
                    <xdr:row>7</xdr:row>
                    <xdr:rowOff>180975</xdr:rowOff>
                  </from>
                  <to>
                    <xdr:col>2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locked="0" defaultSize="0" print="0" autoFill="0" autoPict="0" macro="[0]!KnownQ">
                <anchor moveWithCells="1" sizeWithCells="1">
                  <from>
                    <xdr:col>2</xdr:col>
                    <xdr:colOff>38100</xdr:colOff>
                    <xdr:row>30</xdr:row>
                    <xdr:rowOff>0</xdr:rowOff>
                  </from>
                  <to>
                    <xdr:col>2</xdr:col>
                    <xdr:colOff>866775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Option Button 16">
              <controlPr defaultSize="0" autoFill="0" autoLine="0" autoPict="0" macro="[0]!OcultarColumnasDyE">
                <anchor moveWithCells="1">
                  <from>
                    <xdr:col>0</xdr:col>
                    <xdr:colOff>47625</xdr:colOff>
                    <xdr:row>3</xdr:row>
                    <xdr:rowOff>19050</xdr:rowOff>
                  </from>
                  <to>
                    <xdr:col>0</xdr:col>
                    <xdr:colOff>1495425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Option Button 17">
              <controlPr defaultSize="0" autoFill="0" autoLine="0" autoPict="0" macro="[0]!OcultarColumnasCyE">
                <anchor moveWithCells="1">
                  <from>
                    <xdr:col>0</xdr:col>
                    <xdr:colOff>47625</xdr:colOff>
                    <xdr:row>4</xdr:row>
                    <xdr:rowOff>0</xdr:rowOff>
                  </from>
                  <to>
                    <xdr:col>0</xdr:col>
                    <xdr:colOff>1457325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Option Button 18">
              <controlPr defaultSize="0" autoFill="0" autoLine="0" autoPict="0" macro="[0]!OcultarColumnasCyD">
                <anchor moveWithCells="1">
                  <from>
                    <xdr:col>0</xdr:col>
                    <xdr:colOff>47625</xdr:colOff>
                    <xdr:row>5</xdr:row>
                    <xdr:rowOff>9525</xdr:rowOff>
                  </from>
                  <to>
                    <xdr:col>0</xdr:col>
                    <xdr:colOff>1647825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Drop Down 19">
              <controlPr defaultSize="0" autoLine="0" autoPict="0" macro="[0]!ActualizarD24">
                <anchor moveWithCells="1">
                  <from>
                    <xdr:col>3</xdr:col>
                    <xdr:colOff>19050</xdr:colOff>
                    <xdr:row>7</xdr:row>
                    <xdr:rowOff>180975</xdr:rowOff>
                  </from>
                  <to>
                    <xdr:col>5</xdr:col>
                    <xdr:colOff>885825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Drop Down 20">
              <controlPr defaultSize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5</xdr:col>
                    <xdr:colOff>857250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KnownV">
                <anchor moveWithCells="1" sizeWithCells="1">
                  <from>
                    <xdr:col>3</xdr:col>
                    <xdr:colOff>66675</xdr:colOff>
                    <xdr:row>29</xdr:row>
                    <xdr:rowOff>180975</xdr:rowOff>
                  </from>
                  <to>
                    <xdr:col>3</xdr:col>
                    <xdr:colOff>857250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KnownY">
                <anchor moveWithCells="1" sizeWithCells="1">
                  <from>
                    <xdr:col>4</xdr:col>
                    <xdr:colOff>76200</xdr:colOff>
                    <xdr:row>29</xdr:row>
                    <xdr:rowOff>180975</xdr:rowOff>
                  </from>
                  <to>
                    <xdr:col>4</xdr:col>
                    <xdr:colOff>866775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Calculadora</vt:lpstr>
      <vt:lpstr>Canal Trapezoidal</vt:lpstr>
      <vt:lpstr>Canal Rectangular</vt:lpstr>
      <vt:lpstr>Canal Triangular</vt:lpstr>
      <vt:lpstr>Canal Circular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Quintero</dc:creator>
  <cp:lastModifiedBy>LUIS ANGEL QUINTERO SERRANO</cp:lastModifiedBy>
  <dcterms:created xsi:type="dcterms:W3CDTF">2015-06-05T18:17:20Z</dcterms:created>
  <dcterms:modified xsi:type="dcterms:W3CDTF">2026-09-30T22:45:38Z</dcterms:modified>
</cp:coreProperties>
</file>